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atios" sheetId="3" state="visible" r:id="rId3"/>
    <sheet xmlns:r="http://schemas.openxmlformats.org/officeDocument/2006/relationships" name="Collateral" sheetId="4" state="visible" r:id="rId4"/>
    <sheet xmlns:r="http://schemas.openxmlformats.org/officeDocument/2006/relationships" name="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;(#,##0.0)"/>
    <numFmt numFmtId="165" formatCode="0.0%"/>
    <numFmt numFmtId="166" formatCode="0.00&quot;x&quot;"/>
    <numFmt numFmtId="167" formatCode="0.0&quot;x&quot;"/>
  </numFmts>
  <fonts count="6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  <font>
      <color rgb="000000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64" fontId="4" fillId="0" borderId="0" pivotButton="0" quotePrefix="0" xfId="0"/>
    <xf numFmtId="0" fontId="5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5" fillId="0" borderId="0" pivotButton="0" quotePrefix="0" xfId="0"/>
    <xf numFmtId="9" fontId="0" fillId="0" borderId="0" pivotButton="0" quotePrefix="0" xfId="0"/>
    <xf numFmtId="0" fontId="4" fillId="4" borderId="0" pivotButton="0" quotePrefix="0" xfId="0"/>
    <xf numFmtId="9" fontId="4" fillId="4" borderId="0" pivotButton="0" quotePrefix="0" xfId="0"/>
    <xf numFmtId="9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Sunshine Group (KSF) vs Vingroup (VIC) - credit comparison for KRW bond (Arirang) analysis</t>
        </is>
      </c>
    </row>
    <row r="2">
      <c r="A2" s="2" t="inlineStr">
        <is>
          <t>Units: VND billion unless stated. Fiscal year ending 31 Dec. Both: consolidated, Vietnamese Accounting Standards.</t>
        </is>
      </c>
    </row>
    <row r="3">
      <c r="A3" s="2" t="inlineStr">
        <is>
          <t>Sources: Vingroup Annual Report 2025 (EY audited, MD&amp;A tables + FS); Sunshine Group Annual Report 2025 (Deloitte audited, FS read from scanned pages).</t>
        </is>
      </c>
    </row>
    <row r="4">
      <c r="A4" s="2" t="inlineStr">
        <is>
          <t>Blue font = hard-coded input from source. Black = formula. Yellow fill = ASSUMPTION to be replaced (not from a filing).</t>
        </is>
      </c>
    </row>
    <row r="5">
      <c r="A5" s="2" t="inlineStr">
        <is>
          <t>Sheets: Data (inputs) -&gt; Ratios (formulas) -&gt; Collateral (LTV calculator) -&gt; Flags (diligence points).</t>
        </is>
      </c>
    </row>
    <row r="6">
      <c r="A6" s="2" t="inlineStr">
        <is>
          <t>EBITDA is analyst-defined: Profit before tax + interest expense + D&amp;A. 'Adj. EBITDA' also removes 'other profit/(loss)' (non-operating).</t>
        </is>
      </c>
    </row>
    <row r="7">
      <c r="A7" s="2" t="inlineStr">
        <is>
          <t>Caution: Sunshine statements were read visually from low-resolution scans; spot-check key lines against the audited originals before external use.</t>
        </is>
      </c>
    </row>
    <row r="8">
      <c r="A8" s="2" t="inlineStr">
        <is>
          <t>Not yet in the model: the KED article terms (coupon, tenor, security) - could not be accessed; Vingroup bond terms from press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80" customWidth="1" min="7" max="7"/>
  </cols>
  <sheetData>
    <row r="1">
      <c r="A1" s="3" t="inlineStr">
        <is>
          <t>Item</t>
        </is>
      </c>
      <c r="B1" s="3" t="inlineStr">
        <is>
          <t>Unit</t>
        </is>
      </c>
      <c r="C1" s="3" t="inlineStr">
        <is>
          <t>Vingroup FY2025</t>
        </is>
      </c>
      <c r="D1" s="3" t="inlineStr">
        <is>
          <t>Vingroup FY2024</t>
        </is>
      </c>
      <c r="E1" s="3" t="inlineStr">
        <is>
          <t>Sunshine FY2025</t>
        </is>
      </c>
      <c r="F1" s="3" t="inlineStr">
        <is>
          <t>Sunshine FY2024</t>
        </is>
      </c>
      <c r="G1" s="3" t="inlineStr">
        <is>
          <t>Source / note</t>
        </is>
      </c>
    </row>
    <row r="2">
      <c r="A2" t="inlineStr">
        <is>
          <t>Net revenue</t>
        </is>
      </c>
      <c r="B2" t="inlineStr">
        <is>
          <t>VND bn</t>
        </is>
      </c>
      <c r="C2" s="4" t="n">
        <v>331838</v>
      </c>
      <c r="D2" s="4" t="n">
        <v>189068</v>
      </c>
      <c r="E2" s="4" t="n">
        <v>20198.17</v>
      </c>
      <c r="F2" s="4" t="n">
        <v>2469.47</v>
      </c>
      <c r="G2" t="inlineStr">
        <is>
          <t>Vin: AR MD&amp;A; Sun: income statement</t>
        </is>
      </c>
    </row>
    <row r="3">
      <c r="A3" t="inlineStr">
        <is>
          <t>Gross profit</t>
        </is>
      </c>
      <c r="B3" t="inlineStr">
        <is>
          <t>VND bn</t>
        </is>
      </c>
      <c r="C3" s="4" t="n">
        <v>52682.807</v>
      </c>
      <c r="D3" s="4" t="n">
        <v>27300.818</v>
      </c>
      <c r="E3" s="4" t="n">
        <v>13135.92</v>
      </c>
      <c r="F3" s="4" t="n">
        <v>1234.81</v>
      </c>
      <c r="G3" t="inlineStr">
        <is>
          <t>Vin: income stmt (VND m /1000); Sun: income stmt</t>
        </is>
      </c>
    </row>
    <row r="4">
      <c r="A4" t="inlineStr">
        <is>
          <t>Operating profit (net)</t>
        </is>
      </c>
      <c r="B4" t="inlineStr">
        <is>
          <t>VND bn</t>
        </is>
      </c>
      <c r="C4" s="4" t="n">
        <v>7937</v>
      </c>
      <c r="D4" s="4" t="n">
        <v>11665</v>
      </c>
      <c r="E4" s="4" t="n">
        <v>11408.49</v>
      </c>
      <c r="F4" s="4" t="n">
        <v>973.6799999999999</v>
      </c>
      <c r="G4" t="inlineStr">
        <is>
          <t>As reported (Vin 'Net operating profit')</t>
        </is>
      </c>
    </row>
    <row r="5">
      <c r="A5" t="inlineStr">
        <is>
          <t>Other profit / (loss)</t>
        </is>
      </c>
      <c r="B5" t="inlineStr">
        <is>
          <t>VND bn</t>
        </is>
      </c>
      <c r="C5" s="4" t="n">
        <v>18500</v>
      </c>
      <c r="D5" s="4" t="n">
        <v>5074</v>
      </c>
      <c r="E5" s="4" t="n">
        <v>-114.01</v>
      </c>
      <c r="F5" s="4" t="n">
        <v>0.73</v>
      </c>
      <c r="G5" t="inlineStr">
        <is>
          <t>Non-operating; Vin 2025 is large</t>
        </is>
      </c>
    </row>
    <row r="6">
      <c r="A6" t="inlineStr">
        <is>
          <t>Profit before tax</t>
        </is>
      </c>
      <c r="B6" t="inlineStr">
        <is>
          <t>VND bn</t>
        </is>
      </c>
      <c r="C6" s="4" t="n">
        <v>26437</v>
      </c>
      <c r="D6" s="4" t="n">
        <v>16739</v>
      </c>
      <c r="E6" s="4" t="n">
        <v>11294.49</v>
      </c>
      <c r="F6" s="4" t="n">
        <v>974.41</v>
      </c>
      <c r="G6" t="inlineStr"/>
    </row>
    <row r="7">
      <c r="A7" t="inlineStr">
        <is>
          <t>Profit after tax</t>
        </is>
      </c>
      <c r="B7" t="inlineStr">
        <is>
          <t>VND bn</t>
        </is>
      </c>
      <c r="C7" s="4" t="n">
        <v>11065</v>
      </c>
      <c r="D7" s="4" t="n">
        <v>5276</v>
      </c>
      <c r="E7" s="4" t="n">
        <v>8906.219999999999</v>
      </c>
      <c r="F7" s="4" t="n">
        <v>773.85</v>
      </c>
      <c r="G7" t="inlineStr"/>
    </row>
    <row r="8">
      <c r="A8" t="inlineStr">
        <is>
          <t>Interest expense (incl. issuance costs)</t>
        </is>
      </c>
      <c r="B8" t="inlineStr">
        <is>
          <t>VND bn</t>
        </is>
      </c>
      <c r="C8" s="4" t="n">
        <v>29159.736</v>
      </c>
      <c r="D8" s="4" t="n">
        <v>22980.044</v>
      </c>
      <c r="E8" s="4" t="n">
        <v>663.98</v>
      </c>
      <c r="F8" s="4" t="n">
        <v>142.63</v>
      </c>
      <c r="G8" t="inlineStr">
        <is>
          <t>Income stmt; may exclude capitalised interest</t>
        </is>
      </c>
    </row>
    <row r="9">
      <c r="A9" t="inlineStr">
        <is>
          <t>Depreciation &amp; amortisation</t>
        </is>
      </c>
      <c r="B9" t="inlineStr">
        <is>
          <t>VND bn</t>
        </is>
      </c>
      <c r="C9" s="4" t="n">
        <v>31665.247</v>
      </c>
      <c r="D9" s="4" t="n">
        <v>22627.124</v>
      </c>
      <c r="E9" s="4" t="n">
        <v>51.02</v>
      </c>
      <c r="F9" s="4" t="n">
        <v>40.1</v>
      </c>
      <c r="G9" t="inlineStr">
        <is>
          <t>Vin: note 'Depreciation, amortisation and allocation of goodwill'; Sun: cash flow</t>
        </is>
      </c>
    </row>
    <row r="10">
      <c r="A10" t="inlineStr">
        <is>
          <t>Current assets</t>
        </is>
      </c>
      <c r="B10" t="inlineStr">
        <is>
          <t>VND bn</t>
        </is>
      </c>
      <c r="C10" s="4" t="n">
        <v>658772</v>
      </c>
      <c r="D10" s="4" t="n">
        <v>396480</v>
      </c>
      <c r="E10" s="4" t="n">
        <v>81393.56</v>
      </c>
      <c r="F10" s="4" t="n">
        <v>13425.28</v>
      </c>
      <c r="G10" t="inlineStr"/>
    </row>
    <row r="11">
      <c r="A11" t="inlineStr">
        <is>
          <t>Non-current assets</t>
        </is>
      </c>
      <c r="B11" t="inlineStr">
        <is>
          <t>VND bn</t>
        </is>
      </c>
      <c r="C11" s="4" t="n">
        <v>459850</v>
      </c>
      <c r="D11" s="4" t="n">
        <v>440124</v>
      </c>
      <c r="E11" s="4" t="n">
        <v>38750.11</v>
      </c>
      <c r="F11" s="4" t="n">
        <v>7133.06</v>
      </c>
      <c r="G11" t="inlineStr"/>
    </row>
    <row r="12">
      <c r="A12" t="inlineStr">
        <is>
          <t>Total assets</t>
        </is>
      </c>
      <c r="B12" t="inlineStr">
        <is>
          <t>VND bn</t>
        </is>
      </c>
      <c r="C12" s="4" t="n">
        <v>1118623</v>
      </c>
      <c r="D12" s="4" t="n">
        <v>836604</v>
      </c>
      <c r="E12" s="4" t="n">
        <v>120143.67</v>
      </c>
      <c r="F12" s="4" t="n">
        <v>20558.34</v>
      </c>
      <c r="G12" t="inlineStr"/>
    </row>
    <row r="13">
      <c r="A13" t="inlineStr">
        <is>
          <t>Cash &amp; cash equivalents</t>
        </is>
      </c>
      <c r="B13" t="inlineStr">
        <is>
          <t>VND bn</t>
        </is>
      </c>
      <c r="C13" s="4" t="n">
        <v>73542.242</v>
      </c>
      <c r="D13" s="4" t="n">
        <v>42582.366</v>
      </c>
      <c r="E13" s="4" t="n">
        <v>4800.84</v>
      </c>
      <c r="F13" s="4" t="n">
        <v>386.04</v>
      </c>
      <c r="G13" t="inlineStr"/>
    </row>
    <row r="14">
      <c r="A14" t="inlineStr">
        <is>
          <t>Short-term receivables</t>
        </is>
      </c>
      <c r="B14" t="inlineStr">
        <is>
          <t>VND bn</t>
        </is>
      </c>
      <c r="C14" s="4" t="inlineStr">
        <is>
          <t>n/a</t>
        </is>
      </c>
      <c r="D14" s="4" t="inlineStr">
        <is>
          <t>n/a</t>
        </is>
      </c>
      <c r="E14" s="4" t="n">
        <v>57697.02</v>
      </c>
      <c r="F14" s="4" t="n">
        <v>9322.889999999999</v>
      </c>
      <c r="G14" t="inlineStr">
        <is>
          <t>Sun only (48% of assets) - see Flags</t>
        </is>
      </c>
    </row>
    <row r="15">
      <c r="A15" t="inlineStr">
        <is>
          <t>Inventories</t>
        </is>
      </c>
      <c r="B15" t="inlineStr">
        <is>
          <t>VND bn</t>
        </is>
      </c>
      <c r="C15" s="4" t="inlineStr">
        <is>
          <t>n/a</t>
        </is>
      </c>
      <c r="D15" s="4" t="inlineStr">
        <is>
          <t>n/a</t>
        </is>
      </c>
      <c r="E15" s="4" t="n">
        <v>14687.12</v>
      </c>
      <c r="F15" s="4" t="n">
        <v>865.6900000000001</v>
      </c>
      <c r="G15" t="inlineStr">
        <is>
          <t>Sun only</t>
        </is>
      </c>
    </row>
    <row r="16">
      <c r="A16" t="inlineStr">
        <is>
          <t>Current liabilities</t>
        </is>
      </c>
      <c r="B16" t="inlineStr">
        <is>
          <t>VND bn</t>
        </is>
      </c>
      <c r="C16" s="4" t="n">
        <v>587455</v>
      </c>
      <c r="D16" s="4" t="n">
        <v>505292</v>
      </c>
      <c r="E16" s="4" t="n">
        <v>52774.31</v>
      </c>
      <c r="F16" s="4" t="n">
        <v>8570.719999999999</v>
      </c>
      <c r="G16" t="inlineStr"/>
    </row>
    <row r="17">
      <c r="A17" t="inlineStr">
        <is>
          <t>Total liabilities</t>
        </is>
      </c>
      <c r="B17" t="inlineStr">
        <is>
          <t>VND bn</t>
        </is>
      </c>
      <c r="C17" s="4" t="n">
        <v>967134</v>
      </c>
      <c r="D17" s="4" t="n">
        <v>682769</v>
      </c>
      <c r="E17" s="4" t="n">
        <v>100280.4</v>
      </c>
      <c r="F17" s="4" t="n">
        <v>13679.09</v>
      </c>
      <c r="G17" t="inlineStr"/>
    </row>
    <row r="18">
      <c r="A18" t="inlineStr">
        <is>
          <t>Total borrowings &amp; finance leases</t>
        </is>
      </c>
      <c r="B18" t="inlineStr">
        <is>
          <t>VND bn</t>
        </is>
      </c>
      <c r="C18" s="4" t="n">
        <v>338501</v>
      </c>
      <c r="D18" s="4" t="n">
        <v>227920</v>
      </c>
      <c r="E18" s="4" t="n">
        <v>23623.44</v>
      </c>
      <c r="F18" s="4" t="n">
        <v>946.49</v>
      </c>
      <c r="G18" t="inlineStr">
        <is>
          <t>Sun = ST 9,159.8 + LT 14,463.6 (notes 27/28 lines)</t>
        </is>
      </c>
    </row>
    <row r="19">
      <c r="A19" t="inlineStr">
        <is>
          <t>Advances from customers (ST)</t>
        </is>
      </c>
      <c r="B19" t="inlineStr">
        <is>
          <t>VND bn</t>
        </is>
      </c>
      <c r="C19" s="4" t="inlineStr">
        <is>
          <t>n/a</t>
        </is>
      </c>
      <c r="D19" s="4" t="inlineStr">
        <is>
          <t>n/a</t>
        </is>
      </c>
      <c r="E19" s="4" t="n">
        <v>24556.05</v>
      </c>
      <c r="F19" s="4" t="n">
        <v>5677.62</v>
      </c>
      <c r="G19" t="inlineStr">
        <is>
          <t>Sun only; deferred revenue-type liability</t>
        </is>
      </c>
    </row>
    <row r="20">
      <c r="A20" t="inlineStr">
        <is>
          <t>Total equity (incl. NCI)</t>
        </is>
      </c>
      <c r="B20" t="inlineStr">
        <is>
          <t>VND bn</t>
        </is>
      </c>
      <c r="C20" s="4" t="n">
        <v>151489</v>
      </c>
      <c r="D20" s="4" t="n">
        <v>153834</v>
      </c>
      <c r="E20" s="4" t="n">
        <v>19863.27</v>
      </c>
      <c r="F20" s="4" t="n">
        <v>6879.24</v>
      </c>
      <c r="G20" t="inlineStr"/>
    </row>
    <row r="21">
      <c r="A21" t="inlineStr">
        <is>
          <t>Net cash from operating activities</t>
        </is>
      </c>
      <c r="B21" t="inlineStr">
        <is>
          <t>VND bn</t>
        </is>
      </c>
      <c r="C21" s="4" t="inlineStr">
        <is>
          <t>n/a</t>
        </is>
      </c>
      <c r="D21" s="4" t="inlineStr">
        <is>
          <t>n/a</t>
        </is>
      </c>
      <c r="E21" s="4" t="n">
        <v>23314.99</v>
      </c>
      <c r="F21" s="4" t="n">
        <v>5375.15</v>
      </c>
      <c r="G21" t="inlineStr">
        <is>
          <t>Sun CFO inflated by customer deposits - see Flags</t>
        </is>
      </c>
    </row>
    <row r="22">
      <c r="A22" t="inlineStr">
        <is>
          <t>Net cash from investing activities</t>
        </is>
      </c>
      <c r="B22" t="inlineStr">
        <is>
          <t>VND bn</t>
        </is>
      </c>
      <c r="C22" s="4" t="inlineStr">
        <is>
          <t>n/a</t>
        </is>
      </c>
      <c r="D22" s="4" t="inlineStr">
        <is>
          <t>n/a</t>
        </is>
      </c>
      <c r="E22" s="4" t="n">
        <v>-15267.42</v>
      </c>
      <c r="F22" s="4" t="n">
        <v>-3313.19</v>
      </c>
      <c r="G22" t="inlineStr"/>
    </row>
    <row r="23">
      <c r="A23" t="inlineStr">
        <is>
          <t>Net cash from financing activities</t>
        </is>
      </c>
      <c r="B23" t="inlineStr">
        <is>
          <t>VND bn</t>
        </is>
      </c>
      <c r="C23" s="4" t="inlineStr">
        <is>
          <t>n/a</t>
        </is>
      </c>
      <c r="D23" s="4" t="inlineStr">
        <is>
          <t>n/a</t>
        </is>
      </c>
      <c r="E23" s="4" t="n">
        <v>-3632.77</v>
      </c>
      <c r="F23" s="4" t="n">
        <v>-1847.06</v>
      </c>
      <c r="G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9" customWidth="1" min="2" max="2"/>
    <col width="19" customWidth="1" min="3" max="3"/>
    <col width="19" customWidth="1" min="4" max="4"/>
    <col width="19" customWidth="1" min="5" max="5"/>
    <col width="60" customWidth="1" min="6" max="6"/>
  </cols>
  <sheetData>
    <row r="1">
      <c r="A1" s="3" t="inlineStr">
        <is>
          <t>Metric</t>
        </is>
      </c>
      <c r="B1" s="3" t="inlineStr">
        <is>
          <t>Vingroup FY2025</t>
        </is>
      </c>
      <c r="C1" s="3" t="inlineStr">
        <is>
          <t>Vingroup FY2024</t>
        </is>
      </c>
      <c r="D1" s="3" t="inlineStr">
        <is>
          <t>Sunshine FY2025</t>
        </is>
      </c>
      <c r="E1" s="3" t="inlineStr">
        <is>
          <t>Sunshine FY2024</t>
        </is>
      </c>
      <c r="F1" s="3" t="inlineStr">
        <is>
          <t>Comment</t>
        </is>
      </c>
    </row>
    <row r="2">
      <c r="A2" s="5" t="inlineStr">
        <is>
          <t>SCALE</t>
        </is>
      </c>
      <c r="B2" s="6" t="n"/>
      <c r="C2" s="6" t="n"/>
      <c r="D2" s="6" t="n"/>
      <c r="E2" s="6" t="n"/>
      <c r="F2" s="6" t="n"/>
    </row>
    <row r="3">
      <c r="A3" t="inlineStr">
        <is>
          <t>Total assets (VND bn)</t>
        </is>
      </c>
      <c r="B3" s="7">
        <f>Data!C12</f>
        <v/>
      </c>
      <c r="C3" s="7">
        <f>Data!D12</f>
        <v/>
      </c>
      <c r="D3" s="7">
        <f>Data!E12</f>
        <v/>
      </c>
      <c r="E3" s="7">
        <f>Data!F12</f>
        <v/>
      </c>
      <c r="F3" t="inlineStr"/>
    </row>
    <row r="4">
      <c r="A4" t="inlineStr">
        <is>
          <t>Net revenue (VND bn)</t>
        </is>
      </c>
      <c r="B4" s="7">
        <f>Data!C2</f>
        <v/>
      </c>
      <c r="C4" s="7">
        <f>Data!D2</f>
        <v/>
      </c>
      <c r="D4" s="7">
        <f>Data!E2</f>
        <v/>
      </c>
      <c r="E4" s="7">
        <f>Data!F2</f>
        <v/>
      </c>
      <c r="F4" t="inlineStr"/>
    </row>
    <row r="5">
      <c r="A5" t="inlineStr">
        <is>
          <t>Equity (VND bn)</t>
        </is>
      </c>
      <c r="B5" s="7">
        <f>Data!C20</f>
        <v/>
      </c>
      <c r="C5" s="7">
        <f>Data!D20</f>
        <v/>
      </c>
      <c r="D5" s="7">
        <f>Data!E20</f>
        <v/>
      </c>
      <c r="E5" s="7">
        <f>Data!F20</f>
        <v/>
      </c>
      <c r="F5" t="inlineStr"/>
    </row>
    <row r="6">
      <c r="A6" s="5" t="inlineStr">
        <is>
          <t>PROFITABILITY</t>
        </is>
      </c>
      <c r="B6" s="6" t="n"/>
      <c r="C6" s="6" t="n"/>
      <c r="D6" s="6" t="n"/>
      <c r="E6" s="6" t="n"/>
      <c r="F6" s="6" t="n"/>
    </row>
    <row r="7">
      <c r="A7" t="inlineStr">
        <is>
          <t>Gross margin</t>
        </is>
      </c>
      <c r="B7" s="8">
        <f>Data!C3/Data!C2</f>
        <v/>
      </c>
      <c r="C7" s="8">
        <f>Data!D3/Data!D2</f>
        <v/>
      </c>
      <c r="D7" s="8">
        <f>Data!E3/Data!E2</f>
        <v/>
      </c>
      <c r="E7" s="8">
        <f>Data!F3/Data!F2</f>
        <v/>
      </c>
      <c r="F7" t="inlineStr">
        <is>
          <t>Sunshine margin reflects land/plot transfers</t>
        </is>
      </c>
    </row>
    <row r="8">
      <c r="A8" t="inlineStr">
        <is>
          <t>Net margin (PAT/revenue)</t>
        </is>
      </c>
      <c r="B8" s="8">
        <f>Data!C7/Data!C2</f>
        <v/>
      </c>
      <c r="C8" s="8">
        <f>Data!D7/Data!D2</f>
        <v/>
      </c>
      <c r="D8" s="8">
        <f>Data!E7/Data!E2</f>
        <v/>
      </c>
      <c r="E8" s="8">
        <f>Data!F7/Data!F2</f>
        <v/>
      </c>
      <c r="F8" t="inlineStr"/>
    </row>
    <row r="9">
      <c r="A9" t="inlineStr">
        <is>
          <t>ROE (PAT / year-end equity)</t>
        </is>
      </c>
      <c r="B9" s="8">
        <f>Data!C7/Data!C20</f>
        <v/>
      </c>
      <c r="C9" s="8">
        <f>Data!D7/Data!D20</f>
        <v/>
      </c>
      <c r="D9" s="8">
        <f>Data!E7/Data!E20</f>
        <v/>
      </c>
      <c r="E9" s="8">
        <f>Data!F7/Data!F20</f>
        <v/>
      </c>
      <c r="F9" t="inlineStr">
        <is>
          <t>Sun flattered by low equity base and one-off scale-up</t>
        </is>
      </c>
    </row>
    <row r="10">
      <c r="A10" t="inlineStr">
        <is>
          <t>ROA (PAT / year-end assets)</t>
        </is>
      </c>
      <c r="B10" s="8">
        <f>Data!C7/Data!C12</f>
        <v/>
      </c>
      <c r="C10" s="8">
        <f>Data!D7/Data!D12</f>
        <v/>
      </c>
      <c r="D10" s="8">
        <f>Data!E7/Data!E12</f>
        <v/>
      </c>
      <c r="E10" s="8">
        <f>Data!F7/Data!F12</f>
        <v/>
      </c>
      <c r="F10" t="inlineStr"/>
    </row>
    <row r="11">
      <c r="A11" t="inlineStr">
        <is>
          <t>EBITDA (PBT+interest+D&amp;A)</t>
        </is>
      </c>
      <c r="B11" s="7">
        <f>Data!C6+Data!C8+Data!C9</f>
        <v/>
      </c>
      <c r="C11" s="7">
        <f>Data!D6+Data!D8+Data!D9</f>
        <v/>
      </c>
      <c r="D11" s="7">
        <f>Data!E6+Data!E8+Data!E9</f>
        <v/>
      </c>
      <c r="E11" s="7">
        <f>Data!F6+Data!F8+Data!F9</f>
        <v/>
      </c>
      <c r="F11" t="inlineStr"/>
    </row>
    <row r="12">
      <c r="A12" t="inlineStr">
        <is>
          <t>Adj. EBITDA (excl. other profit)</t>
        </is>
      </c>
      <c r="B12" s="7">
        <f>Data!C6+Data!C8+Data!C9-Data!C5</f>
        <v/>
      </c>
      <c r="C12" s="7">
        <f>Data!D6+Data!D8+Data!D9-Data!D5</f>
        <v/>
      </c>
      <c r="D12" s="7">
        <f>Data!E6+Data!E8+Data!E9-Data!E5</f>
        <v/>
      </c>
      <c r="E12" s="7">
        <f>Data!F6+Data!F8+Data!F9-Data!F5</f>
        <v/>
      </c>
      <c r="F12" t="inlineStr"/>
    </row>
    <row r="13">
      <c r="A13" s="5" t="inlineStr">
        <is>
          <t>LEVERAGE</t>
        </is>
      </c>
      <c r="B13" s="6" t="n"/>
      <c r="C13" s="6" t="n"/>
      <c r="D13" s="6" t="n"/>
      <c r="E13" s="6" t="n"/>
      <c r="F13" s="6" t="n"/>
    </row>
    <row r="14">
      <c r="A14" t="inlineStr">
        <is>
          <t>Total liabilities / total assets</t>
        </is>
      </c>
      <c r="B14" s="8">
        <f>Data!C17/Data!C12</f>
        <v/>
      </c>
      <c r="C14" s="8">
        <f>Data!D17/Data!D12</f>
        <v/>
      </c>
      <c r="D14" s="8">
        <f>Data!E17/Data!E12</f>
        <v/>
      </c>
      <c r="E14" s="8">
        <f>Data!F17/Data!F12</f>
        <v/>
      </c>
      <c r="F14" t="inlineStr">
        <is>
          <t>Both very high; includes customer deposits</t>
        </is>
      </c>
    </row>
    <row r="15">
      <c r="A15" t="inlineStr">
        <is>
          <t>Total liabilities / equity (x)</t>
        </is>
      </c>
      <c r="B15" s="9">
        <f>Data!C17/Data!C20</f>
        <v/>
      </c>
      <c r="C15" s="9">
        <f>Data!D17/Data!D20</f>
        <v/>
      </c>
      <c r="D15" s="9">
        <f>Data!E17/Data!E20</f>
        <v/>
      </c>
      <c r="E15" s="9">
        <f>Data!F17/Data!F20</f>
        <v/>
      </c>
      <c r="F15" t="inlineStr">
        <is>
          <t>Sunshine report shows 5.05x; Vin 6.4x</t>
        </is>
      </c>
    </row>
    <row r="16">
      <c r="A16" t="inlineStr">
        <is>
          <t>Borrowings / equity (x)</t>
        </is>
      </c>
      <c r="B16" s="9">
        <f>Data!C18/Data!C20</f>
        <v/>
      </c>
      <c r="C16" s="9">
        <f>Data!D18/Data!D20</f>
        <v/>
      </c>
      <c r="D16" s="9">
        <f>Data!E18/Data!E20</f>
        <v/>
      </c>
      <c r="E16" s="9">
        <f>Data!F18/Data!F20</f>
        <v/>
      </c>
      <c r="F16" t="inlineStr"/>
    </row>
    <row r="17">
      <c r="A17" t="inlineStr">
        <is>
          <t>Borrowings / total assets</t>
        </is>
      </c>
      <c r="B17" s="8">
        <f>Data!C18/Data!C12</f>
        <v/>
      </c>
      <c r="C17" s="8">
        <f>Data!D18/Data!D12</f>
        <v/>
      </c>
      <c r="D17" s="8">
        <f>Data!E18/Data!E12</f>
        <v/>
      </c>
      <c r="E17" s="8">
        <f>Data!F18/Data!F12</f>
        <v/>
      </c>
      <c r="F17" t="inlineStr"/>
    </row>
    <row r="18">
      <c r="A18" t="inlineStr">
        <is>
          <t>Net debt (borrowings - cash) (VND bn)</t>
        </is>
      </c>
      <c r="B18" s="7">
        <f>Data!C18-Data!C13</f>
        <v/>
      </c>
      <c r="C18" s="7">
        <f>Data!D18-Data!D13</f>
        <v/>
      </c>
      <c r="D18" s="7">
        <f>Data!E18-Data!E13</f>
        <v/>
      </c>
      <c r="E18" s="7">
        <f>Data!F18-Data!F13</f>
        <v/>
      </c>
      <c r="F18" t="inlineStr">
        <is>
          <t>Cash &amp; equivalents only</t>
        </is>
      </c>
    </row>
    <row r="19">
      <c r="A19" t="inlineStr">
        <is>
          <t>Net debt / Adj. EBITDA (x)</t>
        </is>
      </c>
      <c r="B19" s="9">
        <f>(Data!C18-Data!C13)/(Data!C6+Data!C8+Data!C9-Data!C5)</f>
        <v/>
      </c>
      <c r="C19" s="9">
        <f>(Data!D18-Data!D13)/(Data!D6+Data!D8+Data!D9-Data!D5)</f>
        <v/>
      </c>
      <c r="D19" s="9">
        <f>(Data!E18-Data!E13)/(Data!E6+Data!E8+Data!E9-Data!E5)</f>
        <v/>
      </c>
      <c r="E19" s="9">
        <f>(Data!F18-Data!F13)/(Data!F6+Data!F8+Data!F9-Data!F5)</f>
        <v/>
      </c>
      <c r="F19" t="inlineStr">
        <is>
          <t>Key credit metric for bond investors</t>
        </is>
      </c>
    </row>
    <row r="20">
      <c r="A20" t="inlineStr">
        <is>
          <t>Net debt / EBITDA (x)</t>
        </is>
      </c>
      <c r="B20" s="9">
        <f>(Data!C18-Data!C13)/(Data!C6+Data!C8+Data!C9)</f>
        <v/>
      </c>
      <c r="C20" s="9">
        <f>(Data!D18-Data!D13)/(Data!D6+Data!D8+Data!D9)</f>
        <v/>
      </c>
      <c r="D20" s="9">
        <f>(Data!E18-Data!E13)/(Data!E6+Data!E8+Data!E9)</f>
        <v/>
      </c>
      <c r="E20" s="9">
        <f>(Data!F18-Data!F13)/(Data!F6+Data!F8+Data!F9)</f>
        <v/>
      </c>
      <c r="F20" t="inlineStr"/>
    </row>
    <row r="21">
      <c r="A21" s="5" t="inlineStr">
        <is>
          <t>COVERAGE &amp; LIQUIDITY</t>
        </is>
      </c>
      <c r="B21" s="6" t="n"/>
      <c r="C21" s="6" t="n"/>
      <c r="D21" s="6" t="n"/>
      <c r="E21" s="6" t="n"/>
      <c r="F21" s="6" t="n"/>
    </row>
    <row r="22">
      <c r="A22" t="inlineStr">
        <is>
          <t>EBITDA / interest expense (x)</t>
        </is>
      </c>
      <c r="B22" s="10">
        <f>(Data!C6+Data!C8+Data!C9)/Data!C8</f>
        <v/>
      </c>
      <c r="C22" s="10">
        <f>(Data!D6+Data!D8+Data!D9)/Data!D8</f>
        <v/>
      </c>
      <c r="D22" s="10">
        <f>(Data!E6+Data!E8+Data!E9)/Data!E8</f>
        <v/>
      </c>
      <c r="E22" s="10">
        <f>(Data!F6+Data!F8+Data!F9)/Data!F8</f>
        <v/>
      </c>
      <c r="F22" t="inlineStr">
        <is>
          <t>Sun interest may exclude capitalised interest</t>
        </is>
      </c>
    </row>
    <row r="23">
      <c r="A23" t="inlineStr">
        <is>
          <t>Adj. EBITDA / interest expense (x)</t>
        </is>
      </c>
      <c r="B23" s="10">
        <f>(Data!C6+Data!C8+Data!C9-Data!C5)/Data!C8</f>
        <v/>
      </c>
      <c r="C23" s="10">
        <f>(Data!D6+Data!D8+Data!D9-Data!D5)/Data!D8</f>
        <v/>
      </c>
      <c r="D23" s="10">
        <f>(Data!E6+Data!E8+Data!E9-Data!E5)/Data!E8</f>
        <v/>
      </c>
      <c r="E23" s="10">
        <f>(Data!F6+Data!F8+Data!F9-Data!F5)/Data!F8</f>
        <v/>
      </c>
      <c r="F23" t="inlineStr"/>
    </row>
    <row r="24">
      <c r="A24" t="inlineStr">
        <is>
          <t>Current ratio (x)</t>
        </is>
      </c>
      <c r="B24" s="9">
        <f>Data!C10/Data!C16</f>
        <v/>
      </c>
      <c r="C24" s="9">
        <f>Data!D10/Data!D16</f>
        <v/>
      </c>
      <c r="D24" s="9">
        <f>Data!E10/Data!E16</f>
        <v/>
      </c>
      <c r="E24" s="9">
        <f>Data!F10/Data!F16</f>
        <v/>
      </c>
      <c r="F24" t="inlineStr"/>
    </row>
    <row r="25">
      <c r="A25" t="inlineStr">
        <is>
          <t>Cash / current liabilities</t>
        </is>
      </c>
      <c r="B25" s="8">
        <f>Data!C13/Data!C16</f>
        <v/>
      </c>
      <c r="C25" s="8">
        <f>Data!D13/Data!D16</f>
        <v/>
      </c>
      <c r="D25" s="8">
        <f>Data!E13/Data!E16</f>
        <v/>
      </c>
      <c r="E25" s="8">
        <f>Data!F13/Data!F16</f>
        <v/>
      </c>
      <c r="F25" t="inlineStr"/>
    </row>
    <row r="26">
      <c r="A26" t="inlineStr">
        <is>
          <t>Implied interest rate (interest / year-end debt)</t>
        </is>
      </c>
      <c r="B26" s="8">
        <f>Data!C8/Data!C18</f>
        <v/>
      </c>
      <c r="C26" s="8">
        <f>Data!D8/Data!D18</f>
        <v/>
      </c>
      <c r="D26" s="8">
        <f>Data!E8/Data!E18</f>
        <v/>
      </c>
      <c r="E26" s="8">
        <f>Data!F8/Data!F18</f>
        <v/>
      </c>
      <c r="F26" t="inlineStr">
        <is>
          <t>Understates for Sun (debt jumped in-year)</t>
        </is>
      </c>
    </row>
    <row r="28">
      <c r="A28" s="11" t="inlineStr">
        <is>
          <t>GROWTH (FY2025 vs FY2024)</t>
        </is>
      </c>
    </row>
    <row r="29">
      <c r="A29" t="inlineStr">
        <is>
          <t>Revenue growth</t>
        </is>
      </c>
      <c r="B29" s="12">
        <f>Data!C2/Data!D2-1</f>
        <v/>
      </c>
      <c r="D29" s="12">
        <f>Data!E2/Data!F2-1</f>
        <v/>
      </c>
      <c r="F29" t="inlineStr"/>
    </row>
    <row r="30">
      <c r="A30" t="inlineStr">
        <is>
          <t>Total assets growth</t>
        </is>
      </c>
      <c r="B30" s="12">
        <f>Data!C12/Data!D12-1</f>
        <v/>
      </c>
      <c r="D30" s="12">
        <f>Data!E12/Data!F12-1</f>
        <v/>
      </c>
      <c r="F30" t="inlineStr">
        <is>
          <t>Sunshine step-change in one year = limited track record</t>
        </is>
      </c>
    </row>
    <row r="31">
      <c r="A31" t="inlineStr">
        <is>
          <t>Borrowings growth</t>
        </is>
      </c>
      <c r="B31" s="12">
        <f>Data!C18/Data!D18-1</f>
        <v/>
      </c>
      <c r="D31" s="12">
        <f>Data!E18/Data!F18-1</f>
        <v/>
      </c>
      <c r="F31" t="inlineStr"/>
    </row>
    <row r="32">
      <c r="A32" t="inlineStr">
        <is>
          <t>Equity growth</t>
        </is>
      </c>
      <c r="B32" s="12">
        <f>Data!C20/Data!D20-1</f>
        <v/>
      </c>
      <c r="D32" s="12">
        <f>Data!E20/Data!F20-1</f>
        <v/>
      </c>
      <c r="F32" t="inlineStr"/>
    </row>
    <row r="34">
      <c r="A34" s="11" t="inlineStr">
        <is>
          <t>SIZE RELATIVE</t>
        </is>
      </c>
    </row>
    <row r="35">
      <c r="A35" t="inlineStr">
        <is>
          <t>Sunshine assets as % of Vingroup</t>
        </is>
      </c>
      <c r="D35" s="8">
        <f>Data!E12/Data!C12</f>
        <v/>
      </c>
    </row>
    <row r="36">
      <c r="A36" t="inlineStr">
        <is>
          <t>Sunshine revenue as % of Vingroup</t>
        </is>
      </c>
      <c r="D36" s="8">
        <f>Data!E2/Data!C2</f>
        <v/>
      </c>
    </row>
    <row r="37">
      <c r="A37" t="inlineStr">
        <is>
          <t>Sunshine borrowings as % of Vingroup</t>
        </is>
      </c>
      <c r="D37" s="8">
        <f>Data!E18/Data!C18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00" customWidth="1" min="3" max="3"/>
  </cols>
  <sheetData>
    <row r="1">
      <c r="A1" s="1" t="inlineStr">
        <is>
          <t>Land collateral / LTV calculator (Ciputra, Hanoi) - ALL YELLOW CELLS ARE PLACEHOLDERS</t>
        </is>
      </c>
    </row>
    <row r="3">
      <c r="A3" t="inlineStr">
        <is>
          <t>Bond size (KRW bn)</t>
        </is>
      </c>
      <c r="B3" s="13" t="n">
        <v>400</v>
      </c>
      <c r="C3" t="inlineStr">
        <is>
          <t>Assumption: matches Vingroup Arirang deal (~KRW 400bn; board approval up to 455bn). Replace with Sunshine's target.</t>
        </is>
      </c>
    </row>
    <row r="4">
      <c r="A4" t="inlineStr">
        <is>
          <t>FX: VND per 1 KRW</t>
        </is>
      </c>
      <c r="B4" s="13" t="n">
        <v>18</v>
      </c>
      <c r="C4" t="inlineStr">
        <is>
          <t>ASSUMPTION - replace with current rate</t>
        </is>
      </c>
    </row>
    <row r="5">
      <c r="A5" t="inlineStr">
        <is>
          <t>Appraised value of pledged land (VND bn)</t>
        </is>
      </c>
      <c r="B5" s="13" t="n">
        <v>10000</v>
      </c>
      <c r="C5" t="inlineStr">
        <is>
          <t>PLACEHOLDER - need independent valuation</t>
        </is>
      </c>
    </row>
    <row r="6">
      <c r="A6" t="inlineStr">
        <is>
          <t>Valuation haircut (forced-sale discount)</t>
        </is>
      </c>
      <c r="B6" s="14" t="n">
        <v>0.3</v>
      </c>
      <c r="C6" t="inlineStr">
        <is>
          <t>ASSUMPTION</t>
        </is>
      </c>
    </row>
    <row r="7">
      <c r="A7" t="inlineStr">
        <is>
          <t>Existing senior liens on same land (VND bn)</t>
        </is>
      </c>
      <c r="B7" s="13" t="n">
        <v>0</v>
      </c>
      <c r="C7" t="inlineStr">
        <is>
          <t>UNKNOWN - Sunshine notes show Ciputra/Nam Thang Long project assets already pledged to banks (see Flags)</t>
        </is>
      </c>
    </row>
    <row r="8">
      <c r="A8" t="inlineStr">
        <is>
          <t>Target max LTV (bond / haircut value)</t>
        </is>
      </c>
      <c r="B8" s="14" t="n">
        <v>0.6</v>
      </c>
      <c r="C8" t="inlineStr">
        <is>
          <t>ASSUMPTION - typical secured structure range 50-70%</t>
        </is>
      </c>
    </row>
    <row r="11">
      <c r="A11" s="11" t="inlineStr">
        <is>
          <t>CALCULATIONS</t>
        </is>
      </c>
    </row>
    <row r="12">
      <c r="A12" t="inlineStr">
        <is>
          <t>Bond size (VND bn)</t>
        </is>
      </c>
      <c r="B12" s="7">
        <f>B3*B4</f>
        <v/>
      </c>
      <c r="C12" t="inlineStr">
        <is>
          <t>KRW bn x VND per KRW = VND bn (e.g. 300 x 18 = 5,400)</t>
        </is>
      </c>
    </row>
    <row r="13">
      <c r="A13" t="inlineStr">
        <is>
          <t>Haircut collateral value (VND bn)</t>
        </is>
      </c>
      <c r="B13" s="7">
        <f>B5*(1-B6)</f>
        <v/>
      </c>
      <c r="C13" t="inlineStr"/>
    </row>
    <row r="14">
      <c r="A14" t="inlineStr">
        <is>
          <t>Net collateral value after existing liens (VND bn)</t>
        </is>
      </c>
      <c r="B14" s="7">
        <f>MAX(B13-B7,0)</f>
        <v/>
      </c>
      <c r="C14" t="inlineStr"/>
    </row>
    <row r="15">
      <c r="A15" t="inlineStr">
        <is>
          <t>LTV = bond / net collateral value</t>
        </is>
      </c>
      <c r="B15" s="12">
        <f>IF(B14=0,"n/a",B12/B14)</f>
        <v/>
      </c>
      <c r="C15" t="inlineStr"/>
    </row>
    <row r="16">
      <c r="A16" t="inlineStr">
        <is>
          <t>Collateral coverage (x) = net collateral / bond</t>
        </is>
      </c>
      <c r="B16" s="9">
        <f>IF(B12=0,"n/a",B14/B12)</f>
        <v/>
      </c>
      <c r="C16" t="inlineStr"/>
    </row>
    <row r="17">
      <c r="A17" t="inlineStr">
        <is>
          <t>Minimum collateral needed for target LTV (VND bn, haircut basis)</t>
        </is>
      </c>
      <c r="B17" s="7">
        <f>B12/B8+B7</f>
        <v/>
      </c>
      <c r="C17" t="inlineStr"/>
    </row>
    <row r="18">
      <c r="A18" t="inlineStr">
        <is>
          <t>Minimum APPRAISED value needed (VND bn)</t>
        </is>
      </c>
      <c r="B18" s="7">
        <f>B17/(1-B6)</f>
        <v/>
      </c>
      <c r="C18" t="inlineStr">
        <is>
          <t>Give this number to the valuer / client</t>
        </is>
      </c>
    </row>
    <row r="19">
      <c r="A19" t="inlineStr">
        <is>
          <t>Pass target LTV?</t>
        </is>
      </c>
      <c r="B19">
        <f>IF(B15="n/a","n/a",IF(B15&lt;=B8,"YES","NO"))</f>
        <v/>
      </c>
      <c r="C19" t="inlineStr"/>
    </row>
    <row r="21">
      <c r="A21" s="11" t="inlineStr">
        <is>
          <t>Sensitivity: LTV by appraised value (rows) and haircut (columns); existing liens and bond size from above</t>
        </is>
      </c>
    </row>
    <row r="22">
      <c r="A22" t="inlineStr">
        <is>
          <t>Appraised value (VND bn)</t>
        </is>
      </c>
      <c r="B22" s="15" t="n">
        <v>0.2</v>
      </c>
      <c r="C22" s="15" t="n">
        <v>0.3</v>
      </c>
      <c r="D22" s="15" t="n">
        <v>0.4</v>
      </c>
      <c r="E22" s="15" t="n">
        <v>0.5</v>
      </c>
    </row>
    <row r="23">
      <c r="A23" s="7" t="n">
        <v>6000</v>
      </c>
      <c r="B23" s="12">
        <f>IF(($A23*(1-B$22)-$B$7)&lt;=0,"n/a",$B$12/($A23*(1-B$22)-$B$7))</f>
        <v/>
      </c>
      <c r="C23" s="12">
        <f>IF(($A23*(1-C$22)-$B$7)&lt;=0,"n/a",$B$12/($A23*(1-C$22)-$B$7))</f>
        <v/>
      </c>
      <c r="D23" s="12">
        <f>IF(($A23*(1-D$22)-$B$7)&lt;=0,"n/a",$B$12/($A23*(1-D$22)-$B$7))</f>
        <v/>
      </c>
      <c r="E23" s="12">
        <f>IF(($A23*(1-E$22)-$B$7)&lt;=0,"n/a",$B$12/($A23*(1-E$22)-$B$7))</f>
        <v/>
      </c>
    </row>
    <row r="24">
      <c r="A24" s="7" t="n">
        <v>8000</v>
      </c>
      <c r="B24" s="12">
        <f>IF(($A24*(1-B$22)-$B$7)&lt;=0,"n/a",$B$12/($A24*(1-B$22)-$B$7))</f>
        <v/>
      </c>
      <c r="C24" s="12">
        <f>IF(($A24*(1-C$22)-$B$7)&lt;=0,"n/a",$B$12/($A24*(1-C$22)-$B$7))</f>
        <v/>
      </c>
      <c r="D24" s="12">
        <f>IF(($A24*(1-D$22)-$B$7)&lt;=0,"n/a",$B$12/($A24*(1-D$22)-$B$7))</f>
        <v/>
      </c>
      <c r="E24" s="12">
        <f>IF(($A24*(1-E$22)-$B$7)&lt;=0,"n/a",$B$12/($A24*(1-E$22)-$B$7))</f>
        <v/>
      </c>
    </row>
    <row r="25">
      <c r="A25" s="7" t="n">
        <v>10000</v>
      </c>
      <c r="B25" s="12">
        <f>IF(($A25*(1-B$22)-$B$7)&lt;=0,"n/a",$B$12/($A25*(1-B$22)-$B$7))</f>
        <v/>
      </c>
      <c r="C25" s="12">
        <f>IF(($A25*(1-C$22)-$B$7)&lt;=0,"n/a",$B$12/($A25*(1-C$22)-$B$7))</f>
        <v/>
      </c>
      <c r="D25" s="12">
        <f>IF(($A25*(1-D$22)-$B$7)&lt;=0,"n/a",$B$12/($A25*(1-D$22)-$B$7))</f>
        <v/>
      </c>
      <c r="E25" s="12">
        <f>IF(($A25*(1-E$22)-$B$7)&lt;=0,"n/a",$B$12/($A25*(1-E$22)-$B$7))</f>
        <v/>
      </c>
    </row>
    <row r="26">
      <c r="A26" s="7" t="n">
        <v>12000</v>
      </c>
      <c r="B26" s="12">
        <f>IF(($A26*(1-B$22)-$B$7)&lt;=0,"n/a",$B$12/($A26*(1-B$22)-$B$7))</f>
        <v/>
      </c>
      <c r="C26" s="12">
        <f>IF(($A26*(1-C$22)-$B$7)&lt;=0,"n/a",$B$12/($A26*(1-C$22)-$B$7))</f>
        <v/>
      </c>
      <c r="D26" s="12">
        <f>IF(($A26*(1-D$22)-$B$7)&lt;=0,"n/a",$B$12/($A26*(1-D$22)-$B$7))</f>
        <v/>
      </c>
      <c r="E26" s="12">
        <f>IF(($A26*(1-E$22)-$B$7)&lt;=0,"n/a",$B$12/($A26*(1-E$22)-$B$7))</f>
        <v/>
      </c>
    </row>
    <row r="27">
      <c r="A27" s="7" t="n">
        <v>15000</v>
      </c>
      <c r="B27" s="12">
        <f>IF(($A27*(1-B$22)-$B$7)&lt;=0,"n/a",$B$12/($A27*(1-B$22)-$B$7))</f>
        <v/>
      </c>
      <c r="C27" s="12">
        <f>IF(($A27*(1-C$22)-$B$7)&lt;=0,"n/a",$B$12/($A27*(1-C$22)-$B$7))</f>
        <v/>
      </c>
      <c r="D27" s="12">
        <f>IF(($A27*(1-D$22)-$B$7)&lt;=0,"n/a",$B$12/($A27*(1-D$22)-$B$7))</f>
        <v/>
      </c>
      <c r="E27" s="12">
        <f>IF(($A27*(1-E$22)-$B$7)&lt;=0,"n/a",$B$12/($A27*(1-E$22)-$B$7))</f>
        <v/>
      </c>
    </row>
    <row r="28">
      <c r="A28" s="7" t="n">
        <v>20000</v>
      </c>
      <c r="B28" s="12">
        <f>IF(($A28*(1-B$22)-$B$7)&lt;=0,"n/a",$B$12/($A28*(1-B$22)-$B$7))</f>
        <v/>
      </c>
      <c r="C28" s="12">
        <f>IF(($A28*(1-C$22)-$B$7)&lt;=0,"n/a",$B$12/($A28*(1-C$22)-$B$7))</f>
        <v/>
      </c>
      <c r="D28" s="12">
        <f>IF(($A28*(1-D$22)-$B$7)&lt;=0,"n/a",$B$12/($A28*(1-D$22)-$B$7))</f>
        <v/>
      </c>
      <c r="E28" s="12">
        <f>IF(($A28*(1-E$22)-$B$7)&lt;=0,"n/a",$B$12/($A28*(1-E$22)-$B$7))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70" customWidth="1" min="3" max="3"/>
    <col width="55" customWidth="1" min="4" max="4"/>
    <col width="50" customWidth="1" min="5" max="5"/>
  </cols>
  <sheetData>
    <row r="1">
      <c r="A1" s="3" t="inlineStr">
        <is>
          <t>#</t>
        </is>
      </c>
      <c r="B1" s="3" t="inlineStr">
        <is>
          <t>Topic</t>
        </is>
      </c>
      <c r="C1" s="3" t="inlineStr">
        <is>
          <t>Finding</t>
        </is>
      </c>
      <c r="D1" s="3" t="inlineStr">
        <is>
          <t>Why it matters to a Korean investor</t>
        </is>
      </c>
      <c r="E1" s="3" t="inlineStr">
        <is>
          <t>Action</t>
        </is>
      </c>
    </row>
    <row r="2">
      <c r="A2" s="16" t="n">
        <v>1</v>
      </c>
      <c r="B2" s="16" t="inlineStr">
        <is>
          <t>Track record / scale jump</t>
        </is>
      </c>
      <c r="C2" s="16" t="inlineStr">
        <is>
          <t>Sunshine total assets VND 20.6tn -&gt; 120.1tn (+484%); revenue 2.5tn -&gt; 20.2tn (+718%) in one year.</t>
        </is>
      </c>
      <c r="D2" s="16" t="inlineStr">
        <is>
          <t>Limited history at current scale; 2025 may reflect consolidation of acquired entities. Investors discount un-seasoned growth.</t>
        </is>
      </c>
      <c r="E2" s="16" t="inlineStr">
        <is>
          <t>Reconcile via notes: which subsidiaries were consolidated in 2025 and when.</t>
        </is>
      </c>
    </row>
    <row r="3">
      <c r="A3" s="16" t="n">
        <v>2</v>
      </c>
      <c r="B3" s="16" t="inlineStr">
        <is>
          <t>Receivables concentration</t>
        </is>
      </c>
      <c r="C3" s="16" t="inlineStr">
        <is>
          <t>Short-term receivables VND 57.7tn = 48% of total assets (loans receivable 19.9tn, other receivables 23.2tn, supplier advances 13.3tn).</t>
        </is>
      </c>
      <c r="D3" s="16" t="inlineStr">
        <is>
          <t>Counterparty / related-party credit risk; recoverability underpins equity.</t>
        </is>
      </c>
      <c r="E3" s="16" t="inlineStr">
        <is>
          <t>Obtain counterparty breakdown, related-party disclosure, ageing, collateral held.</t>
        </is>
      </c>
    </row>
    <row r="4">
      <c r="A4" s="16" t="n">
        <v>3</v>
      </c>
      <c r="B4" s="16" t="inlineStr">
        <is>
          <t>Auditor emphasis of matter</t>
        </is>
      </c>
      <c r="C4" s="16" t="inlineStr">
        <is>
          <t>Deloitte: unmodified opinion with emphasis on extended terms of loan agreements and investment cooperation contracts (Notes 10, 11).</t>
        </is>
      </c>
      <c r="D4" s="16" t="inlineStr">
        <is>
          <t>Signals receivables are being rolled over; a classic credit flag.</t>
        </is>
      </c>
      <c r="E4" s="16" t="inlineStr">
        <is>
          <t>Read Notes 10-11 in full; quantify extended balances.</t>
        </is>
      </c>
    </row>
    <row r="5">
      <c r="A5" s="16" t="n">
        <v>4</v>
      </c>
      <c r="B5" s="16" t="inlineStr">
        <is>
          <t>Earnings quality</t>
        </is>
      </c>
      <c r="C5" s="16" t="inlineStr">
        <is>
          <t>94.8% of revenue (VND 19.1tn) from real-estate transfers; net margin 44% vs Vin 3.3%.</t>
        </is>
      </c>
      <c r="D5" s="16" t="inlineStr">
        <is>
          <t>Lumpy, project-timing driven; not a recurring earnings base.</t>
        </is>
      </c>
      <c r="E5" s="16" t="inlineStr">
        <is>
          <t>Get 2026 handover pipeline; stress-test EBITDA at lower handovers.</t>
        </is>
      </c>
    </row>
    <row r="6">
      <c r="A6" s="16" t="n">
        <v>5</v>
      </c>
      <c r="B6" s="16" t="inlineStr">
        <is>
          <t>Operating cash flow distorted</t>
        </is>
      </c>
      <c r="C6" s="16" t="inlineStr">
        <is>
          <t>CFO +23.3tn includes deposits received 18.6tn and is offset by deposits paid for share transfers 17.4tn (in 'other' operating lines).</t>
        </is>
      </c>
      <c r="D6" s="16" t="inlineStr">
        <is>
          <t>CFO is not a clean measure of debt service capacity.</t>
        </is>
      </c>
      <c r="E6" s="16" t="inlineStr">
        <is>
          <t>Rebuild a clean cash-flow bridge excluding deposits.</t>
        </is>
      </c>
    </row>
    <row r="7">
      <c r="A7" s="16" t="n">
        <v>6</v>
      </c>
      <c r="B7" s="16" t="inlineStr">
        <is>
          <t>Debt rose without matching cash flow</t>
        </is>
      </c>
      <c r="C7" s="16" t="inlineStr">
        <is>
          <t>Borrowings 0.9tn -&gt; 23.6tn, but cash flow shows proceeds 9.3tn vs repayments 12.9tn.</t>
        </is>
      </c>
      <c r="D7" s="16" t="inlineStr">
        <is>
          <t>Debt came largely from consolidation of acquired entities (non-cash).</t>
        </is>
      </c>
      <c r="E7" s="16" t="inlineStr">
        <is>
          <t>Confirm via acquisition notes; get a post-acquisition debt schedule.</t>
        </is>
      </c>
    </row>
    <row r="8">
      <c r="A8" s="16" t="n">
        <v>7</v>
      </c>
      <c r="B8" s="16" t="inlineStr">
        <is>
          <t>Interest cost low vs debt</t>
        </is>
      </c>
      <c r="C8" s="16" t="inlineStr">
        <is>
          <t>Interest expense VND 664bn on 23.6tn year-end debt = ~2.8% (understated; debt jumped in-year; possible capitalisation).</t>
        </is>
      </c>
      <c r="D8" s="16" t="inlineStr">
        <is>
          <t>EBITDA/interest of ~18x may be flattering.</t>
        </is>
      </c>
      <c r="E8" s="16" t="inlineStr">
        <is>
          <t>Get capitalised interest (note on CIP/inventory) and pro-forma full-year interest.</t>
        </is>
      </c>
    </row>
    <row r="9">
      <c r="A9" s="16" t="n">
        <v>8</v>
      </c>
      <c r="B9" s="16" t="inlineStr">
        <is>
          <t>Ciputra land already encumbered</t>
        </is>
      </c>
      <c r="C9" s="16" t="inlineStr">
        <is>
          <t>Debt note shows a VND 5,788bn HDBank loan to Wonderland Real Estate JSC secured on Sunshine Crystal Tay Ho project (Nam Thang Long / Ciputra urban area) plus project rights, accounts and shares. (Read from rotated scan - verify.)</t>
        </is>
      </c>
      <c r="D9" s="16" t="inlineStr">
        <is>
          <t>Land offered to bondholders may already be pledged; priority of lien decides recovery.</t>
        </is>
      </c>
      <c r="E9" s="16" t="inlineStr">
        <is>
          <t>Obtain land-use certificates, mortgage registry extract, and bank consent / release plan.</t>
        </is>
      </c>
    </row>
    <row r="10">
      <c r="A10" s="16" t="n">
        <v>9</v>
      </c>
      <c r="B10" s="16" t="inlineStr">
        <is>
          <t>Is Vingroup secured?</t>
        </is>
      </c>
      <c r="C10" s="16" t="inlineStr">
        <is>
          <t>Vingroup board resolution of 11 Aug 2026 (up to KRW 455bn, 3 years, coupon cap 8%) is reported as secured by 4 outlets; CafeF says unsecured. Pledged assets not disclosed.</t>
        </is>
      </c>
      <c r="D10" s="16" t="inlineStr">
        <is>
          <t>Premise 'Vin unsecured' is probably wrong; a secured Sunshine bond is in line with the benchmark. Collateral quality and priority are what differentiate.</t>
        </is>
      </c>
      <c r="E10" s="16" t="inlineStr">
        <is>
          <t>Get the original Vingroup resolution / HOSE disclosure and the Korean offering memorandum for the security package.</t>
        </is>
      </c>
    </row>
    <row r="11">
      <c r="A11" s="16" t="n">
        <v>10</v>
      </c>
      <c r="B11" s="16" t="inlineStr">
        <is>
          <t>Foreign-currency &amp; legal</t>
        </is>
      </c>
      <c r="C11" s="16" t="inlineStr">
        <is>
          <t>KRW bond: FX risk (KRW vs VND/USD), enforceability of Vietnamese land lien for foreign bondholders (security agent), approvals for foreign borrowing, withholding tax.</t>
        </is>
      </c>
      <c r="D11" s="16" t="inlineStr">
        <is>
          <t>Structural/legal items decide whether collateral is real protection.</t>
        </is>
      </c>
      <c r="E11" s="16" t="inlineStr">
        <is>
          <t>Engage Vietnamese counsel; confirm security-agent structure used in comparable deals.</t>
        </is>
      </c>
    </row>
    <row r="12">
      <c r="A12" s="16" t="n">
        <v>11</v>
      </c>
      <c r="B12" s="16" t="inlineStr">
        <is>
          <t>Auditors differ</t>
        </is>
      </c>
      <c r="C12" s="16" t="inlineStr">
        <is>
          <t>Vingroup: Ernst &amp; Young Vietnam. Sunshine: Deloitte Vietnam. Both Big-4.</t>
        </is>
      </c>
      <c r="D12" s="16" t="inlineStr">
        <is>
          <t>Comparable audit quality; no discount either way.</t>
        </is>
      </c>
      <c r="E12" s="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2026-10-01T06:20:07Z</dcterms:created>
  <dcterms:modified xmlns:dcterms="http://purl.org/dc/terms/" xmlns:xsi="http://www.w3.org/2001/XMLSchema-instance" xsi:type="dcterms:W3CDTF">2026-10-01T06:20:07Z</dcterms:modified>
</cp:coreProperties>
</file>